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73129b3a3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f625c9a835f9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78f57ae8d4204" /><Relationship Type="http://schemas.openxmlformats.org/officeDocument/2006/relationships/theme" Target="/xl/theme/theme1.xml" Id="Rf0ce8a53c24749f5" /><Relationship Type="http://schemas.openxmlformats.org/officeDocument/2006/relationships/sharedStrings" Target="/xl/sharedStrings.xml" Id="Rd92324f1652849e4" /><Relationship Type="http://schemas.openxmlformats.org/officeDocument/2006/relationships/worksheet" Target="/xl/worksheets/sheet1.xml" Id="Rf625c9a835f947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Summit Facility Restoration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CLM-26-822494</x:v>
      </x:c>
      <x:c r="C3" s="2"/>
      <x:c r="D3" s="2"/>
      <x:c r="E3" s="2"/>
      <x:c r="F3" s="2"/>
    </x:row>
    <x:row r="4">
      <x:c r="A4" s="2" t="str">
        <x:v>Property</x:v>
      </x:c>
      <x:c r="B4" s="2" t="str">
        <x:v>Silverleaf Ambulatory Care LLC | 1607 Alder Court, Suite C</x:v>
      </x:c>
      <x:c r="C4" s="2"/>
      <x:c r="D4" s="2"/>
      <x:c r="E4" s="2"/>
      <x:c r="F4" s="2"/>
    </x:row>
    <x:row r="5">
      <x:c r="A5" s="2" t="str">
        <x:v>Issued</x:v>
      </x:c>
      <x:c r="B5" s="4" t="d">
        <x:v>2026-09-04T00:00:00.000Z</x:v>
      </x:c>
      <x:c r="C5" s="2"/>
      <x:c r="D5" s="2" t="str">
        <x:v>Loss date</x:v>
      </x:c>
      <x:c r="E5" s="4" t="d">
        <x:v>2026-08-23T00:00:00.000Z</x:v>
      </x:c>
      <x:c r="F5" s="2"/>
    </x:row>
    <x:row r="6">
      <x:c r="A6" s="2" t="str">
        <x:v>Estimate</x:v>
      </x:c>
      <x:c r="B6" s="2" t="str">
        <x:v>EST-501644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replacement, water-damaged partitions</x:v>
      </x:c>
      <x:c r="C9" s="2" t="n">
        <x:v>1</x:v>
      </x:c>
      <x:c r="D9" s="2" t="str">
        <x:v>LS</x:v>
      </x:c>
      <x:c r="E9" s="8" t="n">
        <x:v>14000</x:v>
      </x:c>
      <x:c r="F9" s="8" t="n">
        <x:f>ROUND(C9*E9,2)</x:f>
        <x:v>14000</x:v>
      </x:c>
    </x:row>
    <x:row r="10" ht="34" customHeight="1">
      <x:c r="A10" s="2" t="str">
        <x:v>L2</x:v>
      </x:c>
      <x:c r="B10" s="7" t="str">
        <x:v>Flooring (LVT) replacement</x:v>
      </x:c>
      <x:c r="C10" s="2" t="n">
        <x:v>1</x:v>
      </x:c>
      <x:c r="D10" s="2" t="str">
        <x:v>LS</x:v>
      </x:c>
      <x:c r="E10" s="8" t="n">
        <x:v>20950</x:v>
      </x:c>
      <x:c r="F10" s="8" t="n">
        <x:f>ROUND(C10*E10,2)</x:f>
        <x:v>20950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8050</x:v>
      </x:c>
      <x:c r="F11" s="8" t="n">
        <x:f>ROUND(C11*E11,2)</x:f>
        <x:v>8050</x:v>
      </x:c>
    </x:row>
    <x:row r="12" ht="34" customHeight="1">
      <x:c r="A12" s="2" t="str">
        <x:v>L4</x:v>
      </x:c>
      <x:c r="B12" s="7" t="str">
        <x:v>Ceiling tile and grid</x:v>
      </x:c>
      <x:c r="C12" s="2" t="n">
        <x:v>1</x:v>
      </x:c>
      <x:c r="D12" s="2" t="str">
        <x:v>LS</x:v>
      </x:c>
      <x:c r="E12" s="8" t="n">
        <x:v>6650</x:v>
      </x:c>
      <x:c r="F12" s="8" t="n">
        <x:f>ROUND(C12*E12,2)</x:f>
        <x:v>6650</x:v>
      </x:c>
    </x:row>
    <x:row r="13" ht="34" customHeight="1">
      <x:c r="A13" s="2" t="str">
        <x:v>L5</x:v>
      </x:c>
      <x:c r="B13" s="7" t="str">
        <x:v>Cabinetry / millwork repair</x:v>
      </x:c>
      <x:c r="C13" s="2" t="n">
        <x:v>1</x:v>
      </x:c>
      <x:c r="D13" s="2" t="str">
        <x:v>LS</x:v>
      </x:c>
      <x:c r="E13" s="8" t="n">
        <x:v>12000</x:v>
      </x:c>
      <x:c r="F13" s="8" t="n">
        <x:f>ROUND(C13*E13,2)</x:f>
        <x:v>12000</x:v>
      </x:c>
    </x:row>
    <x:row r="14" ht="34" customHeight="1">
      <x:c r="A14" s="2" t="str">
        <x:v>L6</x:v>
      </x:c>
      <x:c r="B14" s="7" t="str">
        <x:v>Electrical receptacles and associated branch wiring</x:v>
      </x:c>
      <x:c r="C14" s="2" t="n">
        <x:v>1</x:v>
      </x:c>
      <x:c r="D14" s="2" t="str">
        <x:v>LS</x:v>
      </x:c>
      <x:c r="E14" s="8" t="n">
        <x:v>4050</x:v>
      </x:c>
      <x:c r="F14" s="8" t="n">
        <x:f>ROUND(C14*E14,2)</x:f>
        <x:v>4050</x:v>
      </x:c>
    </x:row>
    <x:row r="15" ht="34" customHeight="1">
      <x:c r="A15" s="2" t="str">
        <x:v>L7</x:v>
      </x:c>
      <x:c r="B15" s="7" t="str">
        <x:v>Demolition and debris removal</x:v>
      </x:c>
      <x:c r="C15" s="2" t="n">
        <x:v>1</x:v>
      </x:c>
      <x:c r="D15" s="2" t="str">
        <x:v>LS</x:v>
      </x:c>
      <x:c r="E15" s="8" t="n">
        <x:v>7300</x:v>
      </x:c>
      <x:c r="F15" s="8" t="n">
        <x:f>ROUND(C15*E15,2)</x:f>
        <x:v>7300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73000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7300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80300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