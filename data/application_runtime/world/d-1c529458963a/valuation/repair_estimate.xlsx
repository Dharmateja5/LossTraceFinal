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de84c6d6f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2010dec4db76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098b1a5b94a06" /><Relationship Type="http://schemas.openxmlformats.org/officeDocument/2006/relationships/theme" Target="/xl/theme/theme1.xml" Id="Rb27effe3d859424c" /><Relationship Type="http://schemas.openxmlformats.org/officeDocument/2006/relationships/sharedStrings" Target="/xl/sharedStrings.xml" Id="Rcdf240a1e6784590" /><Relationship Type="http://schemas.openxmlformats.org/officeDocument/2006/relationships/worksheet" Target="/xl/worksheets/sheet1.xml" Id="R2010dec4db7645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Quarry Building Services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CLM-26-366148</x:v>
      </x:c>
      <x:c r="C3" s="2"/>
      <x:c r="D3" s="2"/>
      <x:c r="E3" s="2"/>
      <x:c r="F3" s="2"/>
    </x:row>
    <x:row r="4">
      <x:c r="A4" s="2" t="str">
        <x:v>Property</x:v>
      </x:c>
      <x:c r="B4" s="2" t="str">
        <x:v>Lakeshore Surgical Center LLC | 1573 Alder Court, Suite F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2026-09-02T00:00:00.000Z</x:v>
      </x:c>
      <x:c r="C5" s="2"/>
      <x:c r="D5" s="2" t="str">
        <x:v>Loss date</x:v>
      </x:c>
      <x:c r="E5" s="4" t="d">
        <x:v>2026-08-21T00:00:00.000Z</x:v>
      </x:c>
      <x:c r="F5" s="2"/>
    </x:row>
    <x:row r="6">
      <x:c r="A6" s="2" t="str">
        <x:v>Estimate</x:v>
      </x:c>
      <x:c r="B6" s="2" t="str">
        <x:v>EST-501370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Interior reconstruction</x:v>
      </x:c>
      <x:c r="C9" s="2" t="n">
        <x:v>1</x:v>
      </x:c>
      <x:c r="D9" s="2" t="str">
        <x:v>LS</x:v>
      </x:c>
      <x:c r="E9" s="8" t="n">
        <x:v>150000</x:v>
      </x:c>
      <x:c r="F9" s="8" t="n">
        <x:f>ROUND(C9*E9,2)</x:f>
        <x:v>150000</x:v>
      </x:c>
    </x:row>
    <x:row r="10" ht="34" customHeight="1">
      <x:c r="A10" s="2" t="str">
        <x:v>L2</x:v>
      </x:c>
      <x:c r="B10" s="7" t="str">
        <x:v>Flooring systems</x:v>
      </x:c>
      <x:c r="C10" s="2" t="n">
        <x:v>1</x:v>
      </x:c>
      <x:c r="D10" s="2" t="str">
        <x:v>LS</x:v>
      </x:c>
      <x:c r="E10" s="8" t="n">
        <x:v>70000</x:v>
      </x:c>
      <x:c r="F10" s="8" t="n">
        <x:f>ROUND(C10*E10,2)</x:f>
        <x:v>70000</x:v>
      </x:c>
    </x:row>
    <x:row r="11" ht="34" customHeight="1">
      <x:c r="A11" s="2" t="str">
        <x:v>L3</x:v>
      </x:c>
      <x:c r="B11" s="7" t="str">
        <x:v>Ceiling and finishes</x:v>
      </x:c>
      <x:c r="C11" s="2" t="n">
        <x:v>1</x:v>
      </x:c>
      <x:c r="D11" s="2" t="str">
        <x:v>LS</x:v>
      </x:c>
      <x:c r="E11" s="8" t="n">
        <x:v>40000</x:v>
      </x:c>
      <x:c r="F11" s="8" t="n">
        <x:f>ROUND(C11*E11,2)</x:f>
        <x:v>40000</x:v>
      </x:c>
    </x:row>
    <x:row r="12" ht="34" customHeight="1">
      <x:c r="A12" s="2" t="str">
        <x:v>L4</x:v>
      </x:c>
      <x:c r="B12" s="7" t="str">
        <x:v>Electrical restoration</x:v>
      </x:c>
      <x:c r="C12" s="2" t="n">
        <x:v>1</x:v>
      </x:c>
      <x:c r="D12" s="2" t="str">
        <x:v>LS</x:v>
      </x:c>
      <x:c r="E12" s="8" t="n">
        <x:v>48000</x:v>
      </x:c>
      <x:c r="F12" s="8" t="n">
        <x:f>ROUND(C12*E12,2)</x:f>
        <x:v>48000</x:v>
      </x:c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 t="str">
        <x:v>Repair subtotal</x:v>
      </x:c>
      <x:c r="F14" s="8" t="n">
        <x:f>SUM(F9:F12)</x:f>
        <x:v>308000</x:v>
      </x:c>
    </x:row>
    <x:row r="15">
      <x:c r="A15" s="2"/>
      <x:c r="B15" s="2"/>
      <x:c r="C15" s="2"/>
      <x:c r="D15" s="2"/>
      <x:c r="E15" s="2" t="str">
        <x:v>O&amp;P rate</x:v>
      </x:c>
      <x:c r="F15" s="9" t="n">
        <x:v>0</x:v>
      </x:c>
    </x:row>
    <x:row r="16">
      <x:c r="A16" s="2"/>
      <x:c r="B16" s="2"/>
      <x:c r="C16" s="2"/>
      <x:c r="D16" s="2"/>
      <x:c r="E16" s="2" t="str">
        <x:v>O&amp;P allowance</x:v>
      </x:c>
      <x:c r="F16" s="8" t="n">
        <x:f>ROUND(F14*F15,2)</x:f>
        <x:v>0</x:v>
      </x:c>
    </x:row>
    <x:row r="17">
      <x:c r="A17" s="2"/>
      <x:c r="B17" s="2"/>
      <x:c r="C17" s="2"/>
      <x:c r="D17" s="2"/>
      <x:c r="E17" s="12" t="str">
        <x:v>Total</x:v>
      </x:c>
      <x:c r="F17" s="13" t="n">
        <x:f>F14+F16</x:f>
        <x:v>308000</x:v>
      </x:c>
    </x:row>
    <x:row r="18">
      <x:c r="A18" s="2"/>
      <x:c r="B18" s="2"/>
      <x:c r="C18" s="2"/>
      <x:c r="D18" s="2"/>
      <x:c r="E18" s="2"/>
      <x:c r="F18" s="2"/>
    </x:row>
    <x:row r="19">
      <x:c r="A19" s="7" t="str">
        <x:v>Submitted repair proposal. Quantities and prices require independent review. This estimate does not authorize payment.</x:v>
      </x:c>
      <x:c r="B19" s="7"/>
      <x:c r="C19" s="7"/>
      <x:c r="D19" s="7"/>
      <x:c r="E19" s="7"/>
      <x:c r="F19" s="7"/>
    </x:row>
    <x:row r="20">
      <x:c r="A20" s="7"/>
      <x:c r="B20" s="7"/>
      <x:c r="C20" s="7"/>
      <x:c r="D20" s="7"/>
      <x:c r="E20" s="7"/>
      <x:c r="F20" s="7"/>
    </x:row>
  </x:sheetData>
  <x:mergeCells>
    <x:mergeCell ref="A2:F2"/>
    <x:mergeCell ref="B3:F3"/>
    <x:mergeCell ref="B4:F4"/>
    <x:mergeCell ref="A19:F20"/>
  </x:mergeCells>
  <x:pageMargins left="0.7" right="0.7" top="0.75" bottom="0.75" header="0.3" footer="0.3"/>
</x:worksheet>
</file>