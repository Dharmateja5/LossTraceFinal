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e6fa19347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828e58100887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809131cbb4ee6" /><Relationship Type="http://schemas.openxmlformats.org/officeDocument/2006/relationships/theme" Target="/xl/theme/theme1.xml" Id="R85f14232fa6445a4" /><Relationship Type="http://schemas.openxmlformats.org/officeDocument/2006/relationships/sharedStrings" Target="/xl/sharedStrings.xml" Id="Rba733a5e4f844d1a" /><Relationship Type="http://schemas.openxmlformats.org/officeDocument/2006/relationships/worksheet" Target="/xl/worksheets/sheet1.xml" Id="R828e58100887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Calloway-Vance Restoration LLC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CLM-26-585247</x:v>
      </x:c>
      <x:c r="C3" s="2"/>
      <x:c r="D3" s="2"/>
      <x:c r="E3" s="2"/>
      <x:c r="F3" s="2"/>
    </x:row>
    <x:row r="4">
      <x:c r="A4" s="2" t="str">
        <x:v>Property</x:v>
      </x:c>
      <x:c r="B4" s="2" t="str">
        <x:v>Fernhollow Dental Group LLC | 1420 Alder Court, Suite B</x:v>
      </x:c>
      <x:c r="C4" s="2"/>
      <x:c r="D4" s="2"/>
      <x:c r="E4" s="2"/>
      <x:c r="F4" s="2"/>
    </x:row>
    <x:row r="5">
      <x:c r="A5" s="2" t="str">
        <x:v>Issued</x:v>
      </x:c>
      <x:c r="B5" s="4" t="d">
        <x:v>2026-08-24T00:00:00.000Z</x:v>
      </x:c>
      <x:c r="C5" s="2"/>
      <x:c r="D5" s="2" t="str">
        <x:v>Loss date</x:v>
      </x:c>
      <x:c r="E5" s="4" t="d">
        <x:v>2026-08-12T00:00:00.000Z</x:v>
      </x:c>
      <x:c r="F5" s="2"/>
    </x:row>
    <x:row r="6">
      <x:c r="A6" s="2" t="str">
        <x:v>Estimate</x:v>
      </x:c>
      <x:c r="B6" s="2" t="str">
        <x:v>EST-500137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14600</x:v>
      </x:c>
      <x:c r="F9" s="8" t="n">
        <x:f>ROUND(C9*E9,2)</x:f>
        <x:v>14600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21800</x:v>
      </x:c>
      <x:c r="F10" s="8" t="n">
        <x:f>ROUND(C10*E10,2)</x:f>
        <x:v>21800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8400</x:v>
      </x:c>
      <x:c r="F11" s="8" t="n">
        <x:f>ROUND(C11*E11,2)</x:f>
        <x:v>8400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6900</x:v>
      </x:c>
      <x:c r="F12" s="8" t="n">
        <x:f>ROUND(C12*E12,2)</x:f>
        <x:v>6900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12500</x:v>
      </x:c>
      <x:c r="F13" s="8" t="n">
        <x:f>ROUND(C13*E13,2)</x:f>
        <x:v>12500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4200</x:v>
      </x:c>
      <x:c r="F14" s="8" t="n">
        <x:f>ROUND(C14*E14,2)</x:f>
        <x:v>4200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7600</x:v>
      </x:c>
      <x:c r="F15" s="8" t="n">
        <x:f>ROUND(C15*E15,2)</x:f>
        <x:v>7600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76000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7600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83600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