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f73381fa0c7422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stimate" sheetId="1" r:id="R6bcc75a8d9484a2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yyyy-mm-dd"/>
    <x:numFmt numFmtId="201" formatCode="#,##0.00"/>
    <x:numFmt numFmtId="202" formatCode="0%"/>
  </x:numFmts>
  <x:fonts count="5">
    <x:font>
      <x:sz val="11"/>
      <x:name val="Carlito"/>
    </x:font>
    <x:font>
      <x:sz val="10"/>
      <x:name val="Arial"/>
    </x:font>
    <x:font>
      <x:b/>
      <x:sz val="14"/>
      <x:name val="Arial"/>
    </x:font>
    <x:font>
      <x:b/>
      <x:sz val="10"/>
      <x:color rgb="FFFFFFFF"/>
      <x:name val="Arial"/>
    </x:font>
    <x:font>
      <x:b/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2">
    <x:border>
      <x:left/>
      <x:right/>
      <x:top/>
      <x:bottom/>
      <x:diagonal/>
    </x:border>
    <x:border>
      <x:left/>
      <x:right/>
      <x:top style="thin">
        <x:color rgb="FF829AB1"/>
      </x:top>
      <x:bottom/>
      <x:diagonal/>
    </x:border>
  </x:borders>
  <x:cellStyleXfs count="1">
    <x:xf numFmtId="0" fontId="0" fillId="0" borderId="0"/>
  </x:cellStyleXfs>
  <x:cellXfs count="14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3" fillId="2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vertical="center"/>
    </x:xf>
    <x:xf numFmtId="201" fontId="4" fillId="0" borderId="0" xfId="0" applyNumberFormat="1" applyFont="1" applyFill="1" applyBorder="1" applyAlignment="1">
      <x:alignment vertical="center"/>
    </x:xf>
    <x:xf numFmtId="0" fontId="4" fillId="0" borderId="1" xfId="0" applyNumberFormat="1" applyFont="1" applyFill="1" applyBorder="1" applyAlignment="1">
      <x:alignment vertical="center"/>
    </x:xf>
    <x:xf numFmtId="201" fontId="4" fillId="0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9134f0974104eb1" /><Relationship Type="http://schemas.openxmlformats.org/officeDocument/2006/relationships/theme" Target="/xl/theme/theme1.xml" Id="R5d0ed434d0354358" /><Relationship Type="http://schemas.openxmlformats.org/officeDocument/2006/relationships/sharedStrings" Target="/xl/sharedStrings.xml" Id="R5344e284cb554b16" /><Relationship Type="http://schemas.openxmlformats.org/officeDocument/2006/relationships/worksheet" Target="/xl/worksheets/sheet1.xml" Id="R6bcc75a8d9484a2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64" hidden="0" customWidth="1"/>
    <x:col min="3" max="3" width="11" hidden="0" customWidth="1"/>
    <x:col min="4" max="4" width="10" hidden="0" customWidth="1"/>
    <x:col min="5" max="5" width="18" hidden="0" customWidth="1"/>
    <x:col min="6" max="6" width="18" hidden="0" customWidth="1"/>
  </x:cols>
  <x:sheetData>
    <x:row r="1">
      <x:c r="A1" s="2"/>
      <x:c r="B1" s="2"/>
      <x:c r="C1" s="2"/>
      <x:c r="D1" s="2"/>
      <x:c r="E1" s="2"/>
      <x:c r="F1" s="2"/>
    </x:row>
    <x:row r="2" ht="28" customHeight="1">
      <x:c r="A2" s="3" t="str">
        <x:v>Harbor Interior Contractors - Repair estimate</x:v>
      </x:c>
      <x:c r="B2" s="2"/>
      <x:c r="C2" s="2"/>
      <x:c r="D2" s="2"/>
      <x:c r="E2" s="2"/>
      <x:c r="F2" s="2"/>
    </x:row>
    <x:row r="3">
      <x:c r="A3" s="2" t="str">
        <x:v>Claim</x:v>
      </x:c>
      <x:c r="B3" s="2" t="str">
        <x:v>CLM-26-678338</x:v>
      </x:c>
      <x:c r="C3" s="2"/>
      <x:c r="D3" s="2"/>
      <x:c r="E3" s="2"/>
      <x:c r="F3" s="2"/>
    </x:row>
    <x:row r="4">
      <x:c r="A4" s="2" t="str">
        <x:v>Property</x:v>
      </x:c>
      <x:c r="B4" s="2" t="str">
        <x:v>Westfield Orthodontics LLC | 1590 Alder Court, Suite B</x:v>
      </x:c>
      <x:c r="C4" s="2"/>
      <x:c r="D4" s="2"/>
      <x:c r="E4" s="2"/>
      <x:c r="F4" s="2"/>
    </x:row>
    <x:row r="5">
      <x:c r="A5" s="2" t="str">
        <x:v>Issued</x:v>
      </x:c>
      <x:c r="B5" s="4" t="d">
        <x:v>2026-09-03T00:00:00.000Z</x:v>
      </x:c>
      <x:c r="C5" s="2"/>
      <x:c r="D5" s="2" t="str">
        <x:v>Loss date</x:v>
      </x:c>
      <x:c r="E5" s="4" t="d">
        <x:v>2026-08-22T00:00:00.000Z</x:v>
      </x:c>
      <x:c r="F5" s="2"/>
    </x:row>
    <x:row r="6">
      <x:c r="A6" s="2" t="str">
        <x:v>Estimate</x:v>
      </x:c>
      <x:c r="B6" s="2" t="str">
        <x:v>EST-501507</x:v>
      </x:c>
      <x:c r="C6" s="2"/>
      <x:c r="D6" s="2"/>
      <x:c r="E6" s="2"/>
      <x:c r="F6" s="2"/>
    </x:row>
    <x:row r="7">
      <x:c r="A7" s="2"/>
      <x:c r="B7" s="2"/>
      <x:c r="C7" s="2"/>
      <x:c r="D7" s="2"/>
      <x:c r="E7" s="2"/>
      <x:c r="F7" s="2"/>
    </x:row>
    <x:row r="8" ht="26" customHeight="1">
      <x:c r="A8" s="6" t="str">
        <x:v>Line</x:v>
      </x:c>
      <x:c r="B8" s="6" t="str">
        <x:v>Description</x:v>
      </x:c>
      <x:c r="C8" s="6" t="str">
        <x:v>Quantity</x:v>
      </x:c>
      <x:c r="D8" s="6" t="str">
        <x:v>Unit</x:v>
      </x:c>
      <x:c r="E8" s="6" t="str">
        <x:v>Unit rate (USD)</x:v>
      </x:c>
      <x:c r="F8" s="6" t="str">
        <x:v>Amount (USD)</x:v>
      </x:c>
    </x:row>
    <x:row r="9" ht="34" customHeight="1">
      <x:c r="A9" s="2" t="str">
        <x:v>L1</x:v>
      </x:c>
      <x:c r="B9" s="7" t="str">
        <x:v>Drywall replacement, water-damaged partitions</x:v>
      </x:c>
      <x:c r="C9" s="2" t="n">
        <x:v>1</x:v>
      </x:c>
      <x:c r="D9" s="2" t="str">
        <x:v>LS</x:v>
      </x:c>
      <x:c r="E9" s="8" t="n">
        <x:v>16050</x:v>
      </x:c>
      <x:c r="F9" s="8" t="n">
        <x:f>ROUND(C9*E9,2)</x:f>
        <x:v>16050</x:v>
      </x:c>
    </x:row>
    <x:row r="10" ht="34" customHeight="1">
      <x:c r="A10" s="2" t="str">
        <x:v>L2</x:v>
      </x:c>
      <x:c r="B10" s="7" t="str">
        <x:v>Flooring (LVT) replacement</x:v>
      </x:c>
      <x:c r="C10" s="2" t="n">
        <x:v>1</x:v>
      </x:c>
      <x:c r="D10" s="2" t="str">
        <x:v>LS</x:v>
      </x:c>
      <x:c r="E10" s="8" t="n">
        <x:v>23950</x:v>
      </x:c>
      <x:c r="F10" s="8" t="n">
        <x:f>ROUND(C10*E10,2)</x:f>
        <x:v>23950</x:v>
      </x:c>
    </x:row>
    <x:row r="11" ht="34" customHeight="1">
      <x:c r="A11" s="2" t="str">
        <x:v>L3</x:v>
      </x:c>
      <x:c r="B11" s="7" t="str">
        <x:v>Baseboard and paint</x:v>
      </x:c>
      <x:c r="C11" s="2" t="n">
        <x:v>1</x:v>
      </x:c>
      <x:c r="D11" s="2" t="str">
        <x:v>LS</x:v>
      </x:c>
      <x:c r="E11" s="8" t="n">
        <x:v>9250</x:v>
      </x:c>
      <x:c r="F11" s="8" t="n">
        <x:f>ROUND(C11*E11,2)</x:f>
        <x:v>9250</x:v>
      </x:c>
    </x:row>
    <x:row r="12" ht="34" customHeight="1">
      <x:c r="A12" s="2" t="str">
        <x:v>L4</x:v>
      </x:c>
      <x:c r="B12" s="7" t="str">
        <x:v>Ceiling tile and grid</x:v>
      </x:c>
      <x:c r="C12" s="2" t="n">
        <x:v>1</x:v>
      </x:c>
      <x:c r="D12" s="2" t="str">
        <x:v>LS</x:v>
      </x:c>
      <x:c r="E12" s="8" t="n">
        <x:v>7600</x:v>
      </x:c>
      <x:c r="F12" s="8" t="n">
        <x:f>ROUND(C12*E12,2)</x:f>
        <x:v>7600</x:v>
      </x:c>
    </x:row>
    <x:row r="13" ht="34" customHeight="1">
      <x:c r="A13" s="2" t="str">
        <x:v>L5</x:v>
      </x:c>
      <x:c r="B13" s="7" t="str">
        <x:v>Cabinetry / millwork repair</x:v>
      </x:c>
      <x:c r="C13" s="2" t="n">
        <x:v>1</x:v>
      </x:c>
      <x:c r="D13" s="2" t="str">
        <x:v>LS</x:v>
      </x:c>
      <x:c r="E13" s="8" t="n">
        <x:v>13750</x:v>
      </x:c>
      <x:c r="F13" s="8" t="n">
        <x:f>ROUND(C13*E13,2)</x:f>
        <x:v>13750</x:v>
      </x:c>
    </x:row>
    <x:row r="14" ht="34" customHeight="1">
      <x:c r="A14" s="2" t="str">
        <x:v>L6</x:v>
      </x:c>
      <x:c r="B14" s="7" t="str">
        <x:v>Electrical receptacles and associated branch wiring</x:v>
      </x:c>
      <x:c r="C14" s="2" t="n">
        <x:v>1</x:v>
      </x:c>
      <x:c r="D14" s="2" t="str">
        <x:v>LS</x:v>
      </x:c>
      <x:c r="E14" s="8" t="n">
        <x:v>4600</x:v>
      </x:c>
      <x:c r="F14" s="8" t="n">
        <x:f>ROUND(C14*E14,2)</x:f>
        <x:v>4600</x:v>
      </x:c>
    </x:row>
    <x:row r="15" ht="34" customHeight="1">
      <x:c r="A15" s="2" t="str">
        <x:v>L7</x:v>
      </x:c>
      <x:c r="B15" s="7" t="str">
        <x:v>Demolition and debris removal</x:v>
      </x:c>
      <x:c r="C15" s="2" t="n">
        <x:v>1</x:v>
      </x:c>
      <x:c r="D15" s="2" t="str">
        <x:v>LS</x:v>
      </x:c>
      <x:c r="E15" s="8" t="n">
        <x:v>8300</x:v>
      </x:c>
      <x:c r="F15" s="8" t="n">
        <x:f>ROUND(C15*E15,2)</x:f>
        <x:v>8300</x:v>
      </x:c>
    </x:row>
    <x:row r="16">
      <x:c r="A16" s="2"/>
      <x:c r="B16" s="2"/>
      <x:c r="C16" s="2"/>
      <x:c r="D16" s="2"/>
      <x:c r="E16" s="2"/>
      <x:c r="F16" s="2"/>
    </x:row>
    <x:row r="17">
      <x:c r="A17" s="2"/>
      <x:c r="B17" s="2"/>
      <x:c r="C17" s="2"/>
      <x:c r="D17" s="2"/>
      <x:c r="E17" s="2" t="str">
        <x:v>Repair subtotal</x:v>
      </x:c>
      <x:c r="F17" s="8" t="n">
        <x:f>SUM(F9:F15)</x:f>
        <x:v>83500</x:v>
      </x:c>
    </x:row>
    <x:row r="18">
      <x:c r="A18" s="2"/>
      <x:c r="B18" s="2"/>
      <x:c r="C18" s="2"/>
      <x:c r="D18" s="2"/>
      <x:c r="E18" s="2" t="str">
        <x:v>O&amp;P rate</x:v>
      </x:c>
      <x:c r="F18" s="9" t="n">
        <x:v>0.1</x:v>
      </x:c>
    </x:row>
    <x:row r="19">
      <x:c r="A19" s="2"/>
      <x:c r="B19" s="2"/>
      <x:c r="C19" s="2"/>
      <x:c r="D19" s="2"/>
      <x:c r="E19" s="2" t="str">
        <x:v>O&amp;P allowance</x:v>
      </x:c>
      <x:c r="F19" s="8" t="n">
        <x:f>ROUND(F17*F18,2)</x:f>
        <x:v>8350</x:v>
      </x:c>
    </x:row>
    <x:row r="20">
      <x:c r="A20" s="2"/>
      <x:c r="B20" s="2"/>
      <x:c r="C20" s="2"/>
      <x:c r="D20" s="2"/>
      <x:c r="E20" s="12" t="str">
        <x:v>Total</x:v>
      </x:c>
      <x:c r="F20" s="13" t="n">
        <x:f>F17+F19</x:f>
        <x:v>91850</x:v>
      </x:c>
    </x:row>
    <x:row r="21">
      <x:c r="A21" s="2"/>
      <x:c r="B21" s="2"/>
      <x:c r="C21" s="2"/>
      <x:c r="D21" s="2"/>
      <x:c r="E21" s="2"/>
      <x:c r="F21" s="2"/>
    </x:row>
    <x:row r="22">
      <x:c r="A22" s="7" t="str">
        <x:v>Submitted repair proposal. Quantities and prices require independent review. This estimate does not authorize payment.</x:v>
      </x:c>
      <x:c r="B22" s="7"/>
      <x:c r="C22" s="7"/>
      <x:c r="D22" s="7"/>
      <x:c r="E22" s="7"/>
      <x:c r="F22" s="7"/>
    </x:row>
    <x:row r="23">
      <x:c r="A23" s="7"/>
      <x:c r="B23" s="7"/>
      <x:c r="C23" s="7"/>
      <x:c r="D23" s="7"/>
      <x:c r="E23" s="7"/>
      <x:c r="F23" s="7"/>
    </x:row>
  </x:sheetData>
  <x:mergeCells>
    <x:mergeCell ref="A2:F2"/>
    <x:mergeCell ref="B3:F3"/>
    <x:mergeCell ref="B4:F4"/>
    <x:mergeCell ref="A22:F23"/>
  </x:mergeCells>
  <x:pageMargins left="0.7" right="0.7" top="0.75" bottom="0.75" header="0.3" footer="0.3"/>
</x:worksheet>
</file>