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bb316357a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373354edefd9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0935a2bd141e1" /><Relationship Type="http://schemas.openxmlformats.org/officeDocument/2006/relationships/theme" Target="/xl/theme/theme1.xml" Id="R43216fddf0864218" /><Relationship Type="http://schemas.openxmlformats.org/officeDocument/2006/relationships/sharedStrings" Target="/xl/sharedStrings.xml" Id="Rdc9c2cc9f400423e" /><Relationship Type="http://schemas.openxmlformats.org/officeDocument/2006/relationships/worksheet" Target="/xl/worksheets/sheet1.xml" Id="R373354edefd9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Hawthorne Property Works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CLM-26-348735</x:v>
      </x:c>
      <x:c r="C3" s="2"/>
      <x:c r="D3" s="2"/>
      <x:c r="E3" s="2"/>
      <x:c r="F3" s="2"/>
    </x:row>
    <x:row r="4">
      <x:c r="A4" s="2" t="str">
        <x:v>Property</x:v>
      </x:c>
      <x:c r="B4" s="2" t="str">
        <x:v>Birchstone Dental Lab LLC | 1624 Alder Court, Suite D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2026-09-05T00:00:00.000Z</x:v>
      </x:c>
      <x:c r="C5" s="2"/>
      <x:c r="D5" s="2" t="str">
        <x:v>Loss date</x:v>
      </x:c>
      <x:c r="E5" s="4" t="d">
        <x:v>2026-08-24T00:00:00.000Z</x:v>
      </x:c>
      <x:c r="F5" s="2"/>
    </x:row>
    <x:row r="6">
      <x:c r="A6" s="2" t="str">
        <x:v>Estimate</x:v>
      </x:c>
      <x:c r="B6" s="2" t="str">
        <x:v>EST-501781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15250</x:v>
      </x:c>
      <x:c r="F9" s="8" t="n">
        <x:f>ROUND(C9*E9,2)</x:f>
        <x:v>15250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22800</x:v>
      </x:c>
      <x:c r="F10" s="8" t="n">
        <x:f>ROUND(C10*E10,2)</x:f>
        <x:v>22800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8800</x:v>
      </x:c>
      <x:c r="F11" s="8" t="n">
        <x:f>ROUND(C11*E11,2)</x:f>
        <x:v>8800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7200</x:v>
      </x:c>
      <x:c r="F12" s="8" t="n">
        <x:f>ROUND(C12*E12,2)</x:f>
        <x:v>7200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13100</x:v>
      </x:c>
      <x:c r="F13" s="8" t="n">
        <x:f>ROUND(C13*E13,2)</x:f>
        <x:v>13100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4400</x:v>
      </x:c>
      <x:c r="F14" s="8" t="n">
        <x:f>ROUND(C14*E14,2)</x:f>
        <x:v>4400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7950</x:v>
      </x:c>
      <x:c r="F15" s="8" t="n">
        <x:f>ROUND(C15*E15,2)</x:f>
        <x:v>7950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79500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7950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87450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