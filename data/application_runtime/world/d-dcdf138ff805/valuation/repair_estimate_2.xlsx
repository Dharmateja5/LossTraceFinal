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35d6d04a7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3bd7ebaa5702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2fdcf521c44eb" /><Relationship Type="http://schemas.openxmlformats.org/officeDocument/2006/relationships/theme" Target="/xl/theme/theme1.xml" Id="Rf523320ed9b840e6" /><Relationship Type="http://schemas.openxmlformats.org/officeDocument/2006/relationships/sharedStrings" Target="/xl/sharedStrings.xml" Id="R47e5a2e9fc654aac" /><Relationship Type="http://schemas.openxmlformats.org/officeDocument/2006/relationships/worksheet" Target="/xl/worksheets/sheet1.xml" Id="R3bd7ebaa57024d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Stonebridge Commercial Restoration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CLM-26-385027</x:v>
      </x:c>
      <x:c r="C3" s="2"/>
      <x:c r="D3" s="2"/>
      <x:c r="E3" s="2"/>
      <x:c r="F3" s="2"/>
    </x:row>
    <x:row r="4">
      <x:c r="A4" s="2" t="str">
        <x:v>Property</x:v>
      </x:c>
      <x:c r="B4" s="2" t="str">
        <x:v>Northbend Imaging Center LLC | 1556 Alder Court, Suite E</x:v>
      </x:c>
      <x:c r="C4" s="2"/>
      <x:c r="D4" s="2"/>
      <x:c r="E4" s="2"/>
      <x:c r="F4" s="2"/>
    </x:row>
    <x:row r="5">
      <x:c r="A5" s="2" t="str">
        <x:v>Issued</x:v>
      </x:c>
      <x:c r="B5" s="4" t="d">
        <x:v>2026-09-02T00:00:00.000Z</x:v>
      </x:c>
      <x:c r="C5" s="2"/>
      <x:c r="D5" s="2" t="str">
        <x:v>Loss date</x:v>
      </x:c>
      <x:c r="E5" s="4" t="d">
        <x:v>2026-08-20T00:00:00.000Z</x:v>
      </x:c>
      <x:c r="F5" s="2"/>
    </x:row>
    <x:row r="6">
      <x:c r="A6" s="2" t="str">
        <x:v>Estimate</x:v>
      </x:c>
      <x:c r="B6" s="2" t="str">
        <x:v>EST-501233-2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B1</x:v>
      </x:c>
      <x:c r="B9" s="7" t="str">
        <x:v>Full assembly replacement approach</x:v>
      </x:c>
      <x:c r="C9" s="2" t="n">
        <x:v>1</x:v>
      </x:c>
      <x:c r="D9" s="2" t="str">
        <x:v>LS</x:v>
      </x:c>
      <x:c r="E9" s="8" t="n">
        <x:v>165000</x:v>
      </x:c>
      <x:c r="F9" s="8" t="n">
        <x:f>ROUND(C9*E9,2)</x:f>
        <x:v>165000</x:v>
      </x:c>
    </x:row>
    <x:row r="10">
      <x:c r="A10" s="2"/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 t="str">
        <x:v>Repair subtotal</x:v>
      </x:c>
      <x:c r="F11" s="8" t="n">
        <x:f>SUM(F9:F9)</x:f>
        <x:v>165000</x:v>
      </x:c>
    </x:row>
    <x:row r="12">
      <x:c r="A12" s="2"/>
      <x:c r="B12" s="2"/>
      <x:c r="C12" s="2"/>
      <x:c r="D12" s="2"/>
      <x:c r="E12" s="2" t="str">
        <x:v>O&amp;P rate</x:v>
      </x:c>
      <x:c r="F12" s="9" t="n">
        <x:v>0</x:v>
      </x:c>
    </x:row>
    <x:row r="13">
      <x:c r="A13" s="2"/>
      <x:c r="B13" s="2"/>
      <x:c r="C13" s="2"/>
      <x:c r="D13" s="2"/>
      <x:c r="E13" s="2" t="str">
        <x:v>O&amp;P allowance</x:v>
      </x:c>
      <x:c r="F13" s="8" t="n">
        <x:f>ROUND(F11*F12,2)</x:f>
        <x:v>0</x:v>
      </x:c>
    </x:row>
    <x:row r="14">
      <x:c r="A14" s="2"/>
      <x:c r="B14" s="2"/>
      <x:c r="C14" s="2"/>
      <x:c r="D14" s="2"/>
      <x:c r="E14" s="12" t="str">
        <x:v>Total</x:v>
      </x:c>
      <x:c r="F14" s="13" t="n">
        <x:f>F11+F13</x:f>
        <x:v>165000</x:v>
      </x:c>
    </x:row>
    <x:row r="15">
      <x:c r="A15" s="2"/>
      <x:c r="B15" s="2"/>
      <x:c r="C15" s="2"/>
      <x:c r="D15" s="2"/>
      <x:c r="E15" s="2"/>
      <x:c r="F15" s="2"/>
    </x:row>
    <x:row r="16">
      <x:c r="A16" s="7" t="str">
        <x:v>Submitted repair proposal. Quantities and prices require independent review. This estimate does not authorize payment.</x:v>
      </x:c>
      <x:c r="B16" s="7"/>
      <x:c r="C16" s="7"/>
      <x:c r="D16" s="7"/>
      <x:c r="E16" s="7"/>
      <x:c r="F16" s="7"/>
    </x:row>
    <x:row r="17">
      <x:c r="A17" s="7"/>
      <x:c r="B17" s="7"/>
      <x:c r="C17" s="7"/>
      <x:c r="D17" s="7"/>
      <x:c r="E17" s="7"/>
      <x:c r="F17" s="7"/>
    </x:row>
  </x:sheetData>
  <x:mergeCells>
    <x:mergeCell ref="A2:F2"/>
    <x:mergeCell ref="B3:F3"/>
    <x:mergeCell ref="B4:F4"/>
    <x:mergeCell ref="A16:F17"/>
  </x:mergeCells>
  <x:pageMargins left="0.7" right="0.7" top="0.75" bottom="0.75" header="0.3" footer="0.3"/>
</x:worksheet>
</file>